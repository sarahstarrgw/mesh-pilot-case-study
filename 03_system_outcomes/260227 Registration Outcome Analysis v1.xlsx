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47789427714/WOPIServiceId_TP_BOX_2/WOPIUserId_-/"/>
    </mc:Choice>
  </mc:AlternateContent>
  <xr:revisionPtr revIDLastSave="112" documentId="8_{3E54CF62-22DD-AC4F-9B0E-30AE92100943}" xr6:coauthVersionLast="47" xr6:coauthVersionMax="47" xr10:uidLastSave="{D98D50BF-8E48-7547-8CD3-27113DDDF12E}"/>
  <bookViews>
    <workbookView xWindow="2120" yWindow="820" windowWidth="27020" windowHeight="17440" xr2:uid="{988A3EC0-631E-3641-BAD1-CF3F559D0444}"/>
  </bookViews>
  <sheets>
    <sheet name="Summary" sheetId="2" r:id="rId1"/>
    <sheet name="cleaned_registration_submissio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24" i="2" s="1"/>
  <c r="C5" i="2"/>
  <c r="D18" i="2" s="1"/>
  <c r="B5" i="2"/>
  <c r="C11" i="2" s="1"/>
  <c r="C15" i="2" l="1"/>
  <c r="C14" i="2"/>
  <c r="D14" i="2"/>
  <c r="D15" i="2"/>
  <c r="C17" i="2"/>
  <c r="C21" i="2"/>
  <c r="D12" i="2"/>
  <c r="D19" i="2"/>
  <c r="C20" i="2"/>
  <c r="C18" i="2"/>
  <c r="C10" i="2"/>
  <c r="B16" i="2"/>
  <c r="D13" i="2"/>
  <c r="C19" i="2"/>
  <c r="D11" i="2"/>
  <c r="D17" i="2"/>
  <c r="C22" i="2"/>
  <c r="D10" i="2"/>
  <c r="D21" i="2"/>
  <c r="C28" i="2"/>
  <c r="D9" i="2"/>
  <c r="D20" i="2"/>
  <c r="C9" i="2"/>
  <c r="C23" i="2"/>
  <c r="C27" i="2"/>
  <c r="C26" i="2"/>
  <c r="D27" i="2"/>
  <c r="C13" i="2"/>
  <c r="C25" i="2"/>
  <c r="D26" i="2"/>
  <c r="C12" i="2"/>
  <c r="C24" i="2"/>
  <c r="D25" i="2"/>
  <c r="D23" i="2"/>
</calcChain>
</file>

<file path=xl/sharedStrings.xml><?xml version="1.0" encoding="utf-8"?>
<sst xmlns="http://schemas.openxmlformats.org/spreadsheetml/2006/main" count="90" uniqueCount="44">
  <si>
    <t>id</t>
  </si>
  <si>
    <t>student_email</t>
  </si>
  <si>
    <t>advisor_email</t>
  </si>
  <si>
    <t>term</t>
  </si>
  <si>
    <t>submitted_at</t>
  </si>
  <si>
    <t>courses</t>
  </si>
  <si>
    <t>total_credits</t>
  </si>
  <si>
    <t>studentb@gwsandbox.com</t>
  </si>
  <si>
    <t>advisora@gwsandbox.com</t>
  </si>
  <si>
    <t>Spring 2026</t>
  </si>
  <si>
    <t>2026-02-24T20:18:30.215Z</t>
  </si>
  <si>
    <t>[{'subj': 'PHYS 1022', 'title': 'University Physics 2', 'credits': 4}, {'subj': 'MAE 1004', 'title': 'Engineering Drawing', 'credits': 3}, {'subj': 'MAE 1117', 'title': 'Intro to Engineering Computations', 'credits': 3}, {'subj': 'MAE 2131', 'title': 'Thermodynamics', 'credits': 3}, {'subj': 'PSYC 2011', 'title': 'Abnormal Psychology', 'credits': 3}]</t>
  </si>
  <si>
    <t>studentc@gwsandbox.com</t>
  </si>
  <si>
    <t>2026-02-24T20:29:13.225Z</t>
  </si>
  <si>
    <t>[{'subj': 'MATH 1232', 'title': 'Calculus 2', 'credits': 3}, {'subj': 'MAE 1004', 'title': 'Engineering Drawing', 'credits': 3}, {'subj': 'MAE 1117', 'title': 'Intro to Engineering Computation', 'credits': 3}, {'subj': 'PHYS 1021', 'title': 'University Physics 1', 'credits': 4}, {'subj': 'ECON 1011', 'title': 'Principle of Economics 1', 'credits': 3}]</t>
  </si>
  <si>
    <t>studenta@gwsandbox.com</t>
  </si>
  <si>
    <t>advisorc@gwsandbox.com</t>
  </si>
  <si>
    <t>2026-02-24T20:51:34.068Z</t>
  </si>
  <si>
    <t>[{'subj': 'PHYS', 'title': 'University Physics 1', 'credits': 3}, {'subj': 'MAE', 'title': 'Engineering Drawing and Computer Graphics', 'credits': 3}, {'subj': 'MAE', 'title': 'Intro to Engineering Computation', 'credits': 3}, {'subj': 'MATH', 'title': 'Multivariate Calculus', 'credits': 3}, {'subj': 'MATH', 'title': 'Linear Algebra 1', 'credits': 3}, {'subj': 'ECON', 'title': 'Principles of Economics 2', 'credits': 3}, {'subj': 'PSC', 'title': 'Global Justice', 'credits': 3}]</t>
  </si>
  <si>
    <t>Student</t>
  </si>
  <si>
    <t>Student A</t>
  </si>
  <si>
    <t>Student B</t>
  </si>
  <si>
    <t>Student C</t>
  </si>
  <si>
    <t>'subj': '</t>
  </si>
  <si>
    <t>'title': '</t>
  </si>
  <si>
    <t>*Submitted enrollments</t>
  </si>
  <si>
    <t>Correct?</t>
  </si>
  <si>
    <t>Notes</t>
  </si>
  <si>
    <t>Yes</t>
  </si>
  <si>
    <t>Ahead one semester from cirriculum guide; had transfer credit so started math sequence 1 forward</t>
  </si>
  <si>
    <t>Fits for non-technical elective, no pre-req (PSC 2109)</t>
  </si>
  <si>
    <t>Fits for non-technical elective, pre-req met (ECON 1012)</t>
  </si>
  <si>
    <t>per cirriculum guide for semester 2</t>
  </si>
  <si>
    <t>Overall note</t>
  </si>
  <si>
    <t>per cirriculum guide for semester 2; transfer credit approved but not processed</t>
  </si>
  <si>
    <t>out of sequence; pre-req met (Physics I)</t>
  </si>
  <si>
    <t>Skipped linear algebra course but no future concequence with respect to pre-reqs of other courses' taking Thermodynamics one year early</t>
  </si>
  <si>
    <t>pre-req met</t>
  </si>
  <si>
    <t>Credits</t>
  </si>
  <si>
    <t>submitted 3 credits but course requires 4; per cirriculum guide for semester 2</t>
  </si>
  <si>
    <t>Partial</t>
  </si>
  <si>
    <t>Fits for non-technical elective, no pre-req</t>
  </si>
  <si>
    <t>Correct</t>
  </si>
  <si>
    <t>Student enrollment decisions require course overload form submission (4 above 18 CH limit) / approval and incur additional financial responsibility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</si>
</sst>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8">
    <xf numFmtId="0" fontId="0" fillId="0" borderId="0" xfId="0"/>
    <xf numFmtId="0" fontId="18" fillId="0" borderId="0" xfId="42"/>
    <xf numFmtId="0" fontId="20" fillId="0" borderId="0" xfId="0" applyFont="1"/>
    <xf numFmtId="0" fontId="19" fillId="0" borderId="10" xfId="0" applyFont="1" applyBorder="1"/>
    <xf numFmtId="0" fontId="19" fillId="0" borderId="10" xfId="0" quotePrefix="1" applyFont="1" applyBorder="1"/>
    <xf numFmtId="0" fontId="21" fillId="0" borderId="0" xfId="0" applyFont="1"/>
    <xf numFmtId="0" fontId="14" fillId="0" borderId="10" xfId="0" applyFont="1" applyBorder="1"/>
    <xf numFmtId="0" fontId="0" fillId="0" borderId="0" xfId="0" applyAlignment="1">
      <alignment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udentb@gwsandbox.com" TargetMode="External"/><Relationship Id="rId2" Type="http://schemas.openxmlformats.org/officeDocument/2006/relationships/hyperlink" Target="mailto:studentc@gwsandbox.com" TargetMode="External"/><Relationship Id="rId1" Type="http://schemas.openxmlformats.org/officeDocument/2006/relationships/hyperlink" Target="mailto:studentc@gwsandbox.com" TargetMode="External"/><Relationship Id="rId4" Type="http://schemas.openxmlformats.org/officeDocument/2006/relationships/hyperlink" Target="mailto:studenta@gwsandbo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80ECD-F063-CB47-8ACE-65DE45905F2B}">
  <dimension ref="B2:H28"/>
  <sheetViews>
    <sheetView showGridLines="0" tabSelected="1" topLeftCell="D1" zoomScale="109" workbookViewId="0">
      <selection activeCell="G20" sqref="D20:G20"/>
    </sheetView>
  </sheetViews>
  <sheetFormatPr baseColWidth="10" defaultRowHeight="16"/>
  <cols>
    <col min="1" max="1" width="6.1640625" customWidth="1"/>
    <col min="2" max="3" width="23.1640625" bestFit="1" customWidth="1"/>
    <col min="4" max="5" width="39.83203125" customWidth="1"/>
    <col min="7" max="7" width="81.33203125" bestFit="1" customWidth="1"/>
    <col min="8" max="8" width="58" customWidth="1"/>
  </cols>
  <sheetData>
    <row r="2" spans="2:8">
      <c r="B2" t="s">
        <v>20</v>
      </c>
      <c r="C2" t="s">
        <v>21</v>
      </c>
      <c r="D2" t="s">
        <v>22</v>
      </c>
    </row>
    <row r="3" spans="2:8">
      <c r="B3" s="1" t="s">
        <v>15</v>
      </c>
      <c r="C3" s="1" t="s">
        <v>7</v>
      </c>
      <c r="D3" s="1" t="s">
        <v>12</v>
      </c>
      <c r="E3" s="1"/>
    </row>
    <row r="5" spans="2:8">
      <c r="B5" s="5" t="str">
        <f>INDEX(cleaned_registration_submission!$F$2:$F$4,MATCH(B$3, cleaned_registration_submission!$B$2:$B$4, 0))</f>
        <v>[{'subj': 'PHYS', 'title': 'University Physics 1', 'credits': 3}, {'subj': 'MAE', 'title': 'Engineering Drawing and Computer Graphics', 'credits': 3}, {'subj': 'MAE', 'title': 'Intro to Engineering Computation', 'credits': 3}, {'subj': 'MATH', 'title': 'Multivariate Calculus', 'credits': 3}, {'subj': 'MATH', 'title': 'Linear Algebra 1', 'credits': 3}, {'subj': 'ECON', 'title': 'Principles of Economics 2', 'credits': 3}, {'subj': 'PSC', 'title': 'Global Justice', 'credits': 3}]</v>
      </c>
      <c r="C5" s="5" t="str">
        <f>INDEX(cleaned_registration_submission!$F$2:$F$4,MATCH(C$3, cleaned_registration_submission!$B$2:$B$4, 0))</f>
        <v>[{'subj': 'PHYS 1022', 'title': 'University Physics 2', 'credits': 4}, {'subj': 'MAE 1004', 'title': 'Engineering Drawing', 'credits': 3}, {'subj': 'MAE 1117', 'title': 'Intro to Engineering Computations', 'credits': 3}, {'subj': 'MAE 2131', 'title': 'Thermodynamics', 'credits': 3}, {'subj': 'PSYC 2011', 'title': 'Abnormal Psychology', 'credits': 3}]</v>
      </c>
      <c r="D5" s="5" t="str">
        <f>INDEX(cleaned_registration_submission!$F$2:$F$4,MATCH(D$3, cleaned_registration_submission!$B$2:$B$4, 0))</f>
        <v>[{'subj': 'MATH 1232', 'title': 'Calculus 2', 'credits': 3}, {'subj': 'MAE 1004', 'title': 'Engineering Drawing', 'credits': 3}, {'subj': 'MAE 1117', 'title': 'Intro to Engineering Computation', 'credits': 3}, {'subj': 'PHYS 1021', 'title': 'University Physics 1', 'credits': 4}, {'subj': 'ECON 1011', 'title': 'Principle of Economics 1', 'credits': 3}]</v>
      </c>
      <c r="E5" s="5"/>
    </row>
    <row r="7" spans="2:8">
      <c r="B7" s="2" t="s">
        <v>25</v>
      </c>
    </row>
    <row r="8" spans="2:8">
      <c r="B8" s="3" t="s">
        <v>19</v>
      </c>
      <c r="C8" s="4" t="s">
        <v>23</v>
      </c>
      <c r="D8" s="4" t="s">
        <v>24</v>
      </c>
      <c r="E8" s="6" t="s">
        <v>38</v>
      </c>
      <c r="F8" s="6" t="s">
        <v>26</v>
      </c>
      <c r="G8" s="6" t="s">
        <v>27</v>
      </c>
      <c r="H8" s="6" t="s">
        <v>33</v>
      </c>
    </row>
    <row r="9" spans="2:8" ht="51">
      <c r="B9" s="2" t="s">
        <v>20</v>
      </c>
      <c r="C9" t="str">
        <f t="shared" ref="C9:E15" si="0">IFERROR(_xlfn.TEXTBEFORE(_xlfn.TEXTAFTER($B$5,C$8,ROW(A1)),"'"),"")</f>
        <v>PHYS</v>
      </c>
      <c r="D9" t="str">
        <f t="shared" si="0"/>
        <v>University Physics 1</v>
      </c>
      <c r="E9">
        <v>4</v>
      </c>
      <c r="F9" t="s">
        <v>40</v>
      </c>
      <c r="G9" t="s">
        <v>39</v>
      </c>
      <c r="H9" s="7" t="s">
        <v>43</v>
      </c>
    </row>
    <row r="10" spans="2:8">
      <c r="B10" s="2" t="s">
        <v>20</v>
      </c>
      <c r="C10" t="str">
        <f t="shared" si="0"/>
        <v>MAE</v>
      </c>
      <c r="D10" t="str">
        <f t="shared" si="0"/>
        <v>Engineering Drawing and Computer Graphics</v>
      </c>
      <c r="E10">
        <v>3</v>
      </c>
      <c r="F10" t="s">
        <v>28</v>
      </c>
      <c r="G10" t="s">
        <v>32</v>
      </c>
      <c r="H10" s="7"/>
    </row>
    <row r="11" spans="2:8">
      <c r="B11" s="2" t="s">
        <v>20</v>
      </c>
      <c r="C11" t="str">
        <f t="shared" si="0"/>
        <v>MAE</v>
      </c>
      <c r="D11" t="str">
        <f t="shared" si="0"/>
        <v>Intro to Engineering Computation</v>
      </c>
      <c r="E11">
        <v>3</v>
      </c>
      <c r="F11" t="s">
        <v>28</v>
      </c>
      <c r="G11" t="s">
        <v>32</v>
      </c>
      <c r="H11" s="7"/>
    </row>
    <row r="12" spans="2:8">
      <c r="B12" s="2" t="s">
        <v>20</v>
      </c>
      <c r="C12" t="str">
        <f t="shared" si="0"/>
        <v>MATH</v>
      </c>
      <c r="D12" t="str">
        <f t="shared" si="0"/>
        <v>Multivariate Calculus</v>
      </c>
      <c r="E12">
        <v>3</v>
      </c>
      <c r="F12" t="s">
        <v>28</v>
      </c>
      <c r="G12" t="s">
        <v>29</v>
      </c>
      <c r="H12" s="7"/>
    </row>
    <row r="13" spans="2:8">
      <c r="B13" s="2" t="s">
        <v>20</v>
      </c>
      <c r="C13" t="str">
        <f t="shared" si="0"/>
        <v>MATH</v>
      </c>
      <c r="D13" t="str">
        <f t="shared" si="0"/>
        <v>Linear Algebra 1</v>
      </c>
      <c r="E13">
        <v>3</v>
      </c>
      <c r="F13" t="s">
        <v>28</v>
      </c>
      <c r="G13" t="s">
        <v>32</v>
      </c>
      <c r="H13" s="7"/>
    </row>
    <row r="14" spans="2:8">
      <c r="B14" s="2" t="s">
        <v>20</v>
      </c>
      <c r="C14" t="str">
        <f t="shared" si="0"/>
        <v>ECON</v>
      </c>
      <c r="D14" t="str">
        <f t="shared" si="0"/>
        <v>Principles of Economics 2</v>
      </c>
      <c r="E14">
        <v>3</v>
      </c>
      <c r="F14" t="s">
        <v>28</v>
      </c>
      <c r="G14" t="s">
        <v>31</v>
      </c>
      <c r="H14" s="7"/>
    </row>
    <row r="15" spans="2:8">
      <c r="B15" s="2" t="s">
        <v>20</v>
      </c>
      <c r="C15" t="str">
        <f t="shared" si="0"/>
        <v>PSC</v>
      </c>
      <c r="D15" t="str">
        <f t="shared" si="0"/>
        <v>Global Justice</v>
      </c>
      <c r="E15">
        <v>3</v>
      </c>
      <c r="F15" t="s">
        <v>28</v>
      </c>
      <c r="G15" t="s">
        <v>30</v>
      </c>
      <c r="H15" s="7"/>
    </row>
    <row r="16" spans="2:8">
      <c r="B16" s="2" t="str">
        <f>IFERROR(_xlfn.TEXTBEFORE(_xlfn.TEXTAFTER(B$5,"'subj': '",ROW(A10)),"'"),"")</f>
        <v/>
      </c>
      <c r="H16" s="7"/>
    </row>
    <row r="17" spans="2:8" ht="51">
      <c r="B17" s="2" t="s">
        <v>21</v>
      </c>
      <c r="C17" t="str">
        <f t="shared" ref="C17:E21" si="1">IFERROR(_xlfn.TEXTBEFORE(_xlfn.TEXTAFTER($C$5,C$8,ROW(A1)),"'"),"")</f>
        <v>PHYS 1022</v>
      </c>
      <c r="D17" t="str">
        <f t="shared" si="1"/>
        <v>University Physics 2</v>
      </c>
      <c r="E17">
        <v>4</v>
      </c>
      <c r="F17" t="s">
        <v>28</v>
      </c>
      <c r="G17" t="s">
        <v>34</v>
      </c>
      <c r="H17" s="7" t="s">
        <v>36</v>
      </c>
    </row>
    <row r="18" spans="2:8">
      <c r="B18" s="2" t="s">
        <v>21</v>
      </c>
      <c r="C18" t="str">
        <f t="shared" si="1"/>
        <v>MAE 1004</v>
      </c>
      <c r="D18" t="str">
        <f t="shared" si="1"/>
        <v>Engineering Drawing</v>
      </c>
      <c r="E18">
        <v>3</v>
      </c>
      <c r="F18" t="s">
        <v>28</v>
      </c>
      <c r="G18" t="s">
        <v>32</v>
      </c>
      <c r="H18" s="7"/>
    </row>
    <row r="19" spans="2:8">
      <c r="B19" s="2" t="s">
        <v>21</v>
      </c>
      <c r="C19" t="str">
        <f t="shared" si="1"/>
        <v>MAE 1117</v>
      </c>
      <c r="D19" t="str">
        <f t="shared" si="1"/>
        <v>Intro to Engineering Computations</v>
      </c>
      <c r="E19">
        <v>3</v>
      </c>
      <c r="F19" t="s">
        <v>28</v>
      </c>
      <c r="G19" t="s">
        <v>32</v>
      </c>
      <c r="H19" s="7"/>
    </row>
    <row r="20" spans="2:8">
      <c r="B20" s="2" t="s">
        <v>21</v>
      </c>
      <c r="C20" t="str">
        <f t="shared" si="1"/>
        <v>MAE 2131</v>
      </c>
      <c r="D20" t="str">
        <f t="shared" si="1"/>
        <v>Thermodynamics</v>
      </c>
      <c r="E20">
        <v>3</v>
      </c>
      <c r="F20" t="s">
        <v>28</v>
      </c>
      <c r="G20" t="s">
        <v>35</v>
      </c>
      <c r="H20" s="7"/>
    </row>
    <row r="21" spans="2:8">
      <c r="B21" s="2" t="s">
        <v>21</v>
      </c>
      <c r="C21" t="str">
        <f t="shared" si="1"/>
        <v>PSYC 2011</v>
      </c>
      <c r="D21" t="str">
        <f t="shared" si="1"/>
        <v>Abnormal Psychology</v>
      </c>
      <c r="E21">
        <v>3</v>
      </c>
      <c r="F21" t="s">
        <v>28</v>
      </c>
      <c r="G21" t="s">
        <v>37</v>
      </c>
      <c r="H21" s="7"/>
    </row>
    <row r="22" spans="2:8">
      <c r="B22" s="2"/>
      <c r="C22" t="str">
        <f>IFERROR(_xlfn.TEXTBEFORE(_xlfn.TEXTAFTER(C$5,"'subj': '",ROW(A7)),"'"),"")</f>
        <v/>
      </c>
      <c r="H22" s="7"/>
    </row>
    <row r="23" spans="2:8" ht="17">
      <c r="B23" s="2" t="s">
        <v>22</v>
      </c>
      <c r="C23" t="str">
        <f t="shared" ref="C23:E27" si="2">IFERROR(_xlfn.TEXTBEFORE(_xlfn.TEXTAFTER($D$5,C$8,ROW(A1)),"'"),"")</f>
        <v>MATH 1232</v>
      </c>
      <c r="D23" t="str">
        <f t="shared" si="2"/>
        <v>Calculus 2</v>
      </c>
      <c r="E23">
        <v>3</v>
      </c>
      <c r="F23" t="s">
        <v>28</v>
      </c>
      <c r="G23" t="s">
        <v>32</v>
      </c>
      <c r="H23" s="7" t="s">
        <v>42</v>
      </c>
    </row>
    <row r="24" spans="2:8">
      <c r="B24" s="2" t="s">
        <v>22</v>
      </c>
      <c r="C24" t="str">
        <f t="shared" si="2"/>
        <v>MAE 1004</v>
      </c>
      <c r="D24" t="str">
        <f t="shared" si="2"/>
        <v>Engineering Drawing</v>
      </c>
      <c r="E24">
        <v>3</v>
      </c>
      <c r="F24" t="s">
        <v>28</v>
      </c>
      <c r="G24" t="s">
        <v>32</v>
      </c>
      <c r="H24" s="7"/>
    </row>
    <row r="25" spans="2:8">
      <c r="B25" s="2" t="s">
        <v>22</v>
      </c>
      <c r="C25" t="str">
        <f t="shared" si="2"/>
        <v>MAE 1117</v>
      </c>
      <c r="D25" t="str">
        <f t="shared" si="2"/>
        <v>Intro to Engineering Computation</v>
      </c>
      <c r="E25">
        <v>3</v>
      </c>
      <c r="F25" t="s">
        <v>28</v>
      </c>
      <c r="G25" t="s">
        <v>32</v>
      </c>
      <c r="H25" s="7"/>
    </row>
    <row r="26" spans="2:8">
      <c r="B26" s="2" t="s">
        <v>22</v>
      </c>
      <c r="C26" t="str">
        <f t="shared" si="2"/>
        <v>PHYS 1021</v>
      </c>
      <c r="D26" t="str">
        <f t="shared" si="2"/>
        <v>University Physics 1</v>
      </c>
      <c r="E26">
        <v>4</v>
      </c>
      <c r="F26" t="s">
        <v>28</v>
      </c>
      <c r="G26" t="s">
        <v>32</v>
      </c>
      <c r="H26" s="7"/>
    </row>
    <row r="27" spans="2:8">
      <c r="B27" s="2" t="s">
        <v>22</v>
      </c>
      <c r="C27" t="str">
        <f t="shared" si="2"/>
        <v>ECON 1011</v>
      </c>
      <c r="D27" t="str">
        <f t="shared" si="2"/>
        <v>Principle of Economics 1</v>
      </c>
      <c r="E27">
        <v>3</v>
      </c>
      <c r="F27" t="s">
        <v>28</v>
      </c>
      <c r="G27" t="s">
        <v>41</v>
      </c>
      <c r="H27" s="7"/>
    </row>
    <row r="28" spans="2:8">
      <c r="C28" t="str">
        <f>IFERROR(_xlfn.TEXTBEFORE(_xlfn.TEXTAFTER(D$5,"'subj': '",ROW(A7)),"'"),"")</f>
        <v/>
      </c>
    </row>
  </sheetData>
  <hyperlinks>
    <hyperlink ref="D3" r:id="rId1" xr:uid="{19C78AB8-FB33-C94C-B43D-A04DA7AA584A}"/>
    <hyperlink ref="B3:C3" r:id="rId2" display="studentc@gwsandbox.com" xr:uid="{27390DDB-E4B8-A54F-AB30-2514902C228A}"/>
    <hyperlink ref="C3" r:id="rId3" xr:uid="{7CAC352E-AE63-9642-A722-3D6615E4FEC2}"/>
    <hyperlink ref="B3" r:id="rId4" xr:uid="{4943BFCE-E522-C141-9EBC-4EC13ED407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B5C8-2933-1F49-9EE7-291915211828}">
  <dimension ref="A1:G4"/>
  <sheetViews>
    <sheetView topLeftCell="B1" workbookViewId="0">
      <selection activeCell="F4" sqref="F4"/>
    </sheetView>
  </sheetViews>
  <sheetFormatPr baseColWidth="10" defaultRowHeight="16"/>
  <cols>
    <col min="6" max="6" width="255.832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16</v>
      </c>
    </row>
    <row r="3" spans="1:7">
      <c r="A3">
        <v>2</v>
      </c>
      <c r="B3" t="s">
        <v>12</v>
      </c>
      <c r="C3" t="s">
        <v>8</v>
      </c>
      <c r="D3" t="s">
        <v>9</v>
      </c>
      <c r="E3" t="s">
        <v>13</v>
      </c>
      <c r="F3" t="s">
        <v>14</v>
      </c>
      <c r="G3">
        <v>16</v>
      </c>
    </row>
    <row r="4" spans="1:7">
      <c r="A4">
        <v>4</v>
      </c>
      <c r="B4" t="s">
        <v>15</v>
      </c>
      <c r="C4" t="s">
        <v>16</v>
      </c>
      <c r="D4" t="s">
        <v>9</v>
      </c>
      <c r="E4" t="s">
        <v>17</v>
      </c>
      <c r="F4" t="s">
        <v>18</v>
      </c>
      <c r="G4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cleaned_registration_submission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Huffman, Bryce D</dc:creator>
  <cp:lastModifiedBy>Bryce Huffman</cp:lastModifiedBy>
  <dcterms:created xsi:type="dcterms:W3CDTF">2026-02-26T18:00:08Z</dcterms:created>
  <dcterms:modified xsi:type="dcterms:W3CDTF">2026-02-27T20:06:15Z</dcterms:modified>
</cp:coreProperties>
</file>